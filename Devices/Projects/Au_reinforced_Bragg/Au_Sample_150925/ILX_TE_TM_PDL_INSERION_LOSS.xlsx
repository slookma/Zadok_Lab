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fael\Documents\GitHub\Zadok_Lab\Devices\Projects\Au_reinforced_Bragg\Au_Sample_150925\"/>
    </mc:Choice>
  </mc:AlternateContent>
  <xr:revisionPtr revIDLastSave="0" documentId="13_ncr:1_{A3921E15-9270-43FF-928C-03F00B4A6129}" xr6:coauthVersionLast="47" xr6:coauthVersionMax="47" xr10:uidLastSave="{00000000-0000-0000-0000-000000000000}"/>
  <bookViews>
    <workbookView xWindow="-108" yWindow="-108" windowWidth="23256" windowHeight="12456" xr2:uid="{C91D3221-3F91-4FA3-9A75-7D61E6686E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1" l="1"/>
  <c r="O5" i="1"/>
  <c r="O6" i="1"/>
  <c r="O7" i="1"/>
  <c r="O8" i="1"/>
  <c r="O9" i="1"/>
  <c r="O10" i="1"/>
  <c r="O3" i="1"/>
  <c r="E16" i="1"/>
  <c r="E17" i="1"/>
  <c r="E18" i="1"/>
  <c r="E19" i="1"/>
  <c r="E20" i="1"/>
  <c r="E21" i="1"/>
  <c r="E22" i="1"/>
  <c r="E23" i="1"/>
  <c r="E24" i="1"/>
  <c r="E15" i="1"/>
  <c r="F15" i="1"/>
  <c r="F16" i="1"/>
  <c r="F17" i="1"/>
  <c r="F18" i="1"/>
  <c r="F19" i="1"/>
  <c r="F20" i="1"/>
  <c r="F21" i="1"/>
  <c r="F22" i="1"/>
  <c r="F23" i="1"/>
  <c r="F24" i="1"/>
  <c r="G15" i="1"/>
  <c r="G16" i="1"/>
  <c r="G17" i="1"/>
  <c r="G18" i="1"/>
  <c r="G19" i="1"/>
  <c r="G20" i="1"/>
  <c r="G21" i="1"/>
  <c r="G22" i="1"/>
  <c r="G23" i="1"/>
  <c r="G24" i="1"/>
  <c r="B24" i="1"/>
  <c r="C24" i="1"/>
  <c r="D24" i="1"/>
  <c r="B17" i="1"/>
  <c r="C17" i="1"/>
  <c r="D17" i="1"/>
  <c r="B18" i="1"/>
  <c r="C18" i="1"/>
  <c r="D18" i="1"/>
  <c r="B19" i="1"/>
  <c r="C19" i="1"/>
  <c r="D19" i="1"/>
  <c r="B20" i="1"/>
  <c r="C20" i="1"/>
  <c r="D20" i="1"/>
  <c r="B21" i="1"/>
  <c r="C21" i="1"/>
  <c r="D21" i="1"/>
  <c r="B22" i="1"/>
  <c r="C22" i="1"/>
  <c r="D22" i="1"/>
  <c r="B23" i="1"/>
  <c r="C23" i="1"/>
  <c r="D23" i="1"/>
  <c r="C16" i="1"/>
  <c r="D16" i="1"/>
  <c r="B16" i="1"/>
  <c r="C25" i="1"/>
  <c r="D25" i="1"/>
  <c r="H7" i="1"/>
  <c r="H8" i="1" s="1"/>
  <c r="B25" i="1" l="1"/>
  <c r="B26" i="1" s="1"/>
  <c r="D26" i="1"/>
  <c r="D27" i="1" s="1"/>
  <c r="C26" i="1"/>
  <c r="C27" i="1" s="1"/>
  <c r="B27" i="1" l="1"/>
</calcChain>
</file>

<file path=xl/sharedStrings.xml><?xml version="1.0" encoding="utf-8"?>
<sst xmlns="http://schemas.openxmlformats.org/spreadsheetml/2006/main" count="28" uniqueCount="26">
  <si>
    <t xml:space="preserve">ring </t>
  </si>
  <si>
    <t>delta</t>
  </si>
  <si>
    <t>Au</t>
  </si>
  <si>
    <t>db/mm</t>
  </si>
  <si>
    <t>db/cm</t>
  </si>
  <si>
    <t>1/cm</t>
  </si>
  <si>
    <t>1/m</t>
  </si>
  <si>
    <t>max</t>
  </si>
  <si>
    <t>max loss</t>
  </si>
  <si>
    <t>min loss</t>
  </si>
  <si>
    <t xml:space="preserve">delta </t>
  </si>
  <si>
    <t>Column1</t>
  </si>
  <si>
    <t>1</t>
  </si>
  <si>
    <t>2</t>
  </si>
  <si>
    <t>3</t>
  </si>
  <si>
    <t>Insertion loss</t>
  </si>
  <si>
    <t>#1</t>
  </si>
  <si>
    <t>#2</t>
  </si>
  <si>
    <t>#3</t>
  </si>
  <si>
    <t>Ring / Input</t>
  </si>
  <si>
    <t>ILX</t>
  </si>
  <si>
    <t>Ring 1</t>
  </si>
  <si>
    <t>3mm Au</t>
  </si>
  <si>
    <t>Wavelength</t>
  </si>
  <si>
    <t>min</t>
  </si>
  <si>
    <t>Input power -3dBm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</si>
</sst>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1" fillId="3" borderId="2" xfId="0" applyFont="1" applyFill="1" applyBorder="1"/>
    <xf numFmtId="0" fontId="0" fillId="4" borderId="1" xfId="0" applyFont="1" applyFill="1" applyBorder="1"/>
    <xf numFmtId="0" fontId="0" fillId="4" borderId="2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2" borderId="1" xfId="0" applyFont="1" applyFill="1" applyBorder="1"/>
    <xf numFmtId="0" fontId="0" fillId="2" borderId="2" xfId="0" applyFont="1" applyFill="1" applyBorder="1"/>
    <xf numFmtId="0" fontId="0" fillId="0" borderId="0" xfId="0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delta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IL"/>
                </a:p>
              </c:txPr>
            </c:trendlineLbl>
          </c:trendline>
          <c:xVal>
            <c:numRef>
              <c:f>Sheet1!$C$2:$C$10</c:f>
              <c:numCache>
                <c:formatCode>General</c:formatCode>
                <c:ptCount val="9"/>
                <c:pt idx="0">
                  <c:v>3</c:v>
                </c:pt>
                <c:pt idx="1">
                  <c:v>2.6</c:v>
                </c:pt>
                <c:pt idx="2">
                  <c:v>2.2999999999999998</c:v>
                </c:pt>
                <c:pt idx="3">
                  <c:v>0</c:v>
                </c:pt>
                <c:pt idx="4">
                  <c:v>1.65</c:v>
                </c:pt>
                <c:pt idx="5">
                  <c:v>1.8</c:v>
                </c:pt>
                <c:pt idx="7">
                  <c:v>0</c:v>
                </c:pt>
                <c:pt idx="8">
                  <c:v>0</c:v>
                </c:pt>
              </c:numCache>
            </c:numRef>
          </c:xVal>
          <c:yVal>
            <c:numRef>
              <c:f>Sheet1!$D$2:$D$10</c:f>
              <c:numCache>
                <c:formatCode>General</c:formatCode>
                <c:ptCount val="9"/>
                <c:pt idx="0">
                  <c:v>-38</c:v>
                </c:pt>
                <c:pt idx="1">
                  <c:v>-29</c:v>
                </c:pt>
                <c:pt idx="2">
                  <c:v>-25</c:v>
                </c:pt>
                <c:pt idx="3">
                  <c:v>-2</c:v>
                </c:pt>
                <c:pt idx="4">
                  <c:v>-19</c:v>
                </c:pt>
                <c:pt idx="5">
                  <c:v>-27</c:v>
                </c:pt>
                <c:pt idx="7">
                  <c:v>-2</c:v>
                </c:pt>
                <c:pt idx="8">
                  <c:v>-1.5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B5-4E5B-8CB3-43490CADD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4209024"/>
        <c:axId val="564211184"/>
      </c:scatterChart>
      <c:valAx>
        <c:axId val="564209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564211184"/>
        <c:crosses val="autoZero"/>
        <c:crossBetween val="midCat"/>
      </c:valAx>
      <c:valAx>
        <c:axId val="564211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564209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Wavelength dipendincy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Sheet1!$O$2</c:f>
              <c:strCache>
                <c:ptCount val="1"/>
                <c:pt idx="0">
                  <c:v>delta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Sheet1!$L$3:$L$10</c:f>
              <c:numCache>
                <c:formatCode>General</c:formatCode>
                <c:ptCount val="8"/>
                <c:pt idx="0">
                  <c:v>1520</c:v>
                </c:pt>
                <c:pt idx="1">
                  <c:v>1535</c:v>
                </c:pt>
                <c:pt idx="2">
                  <c:v>1560</c:v>
                </c:pt>
                <c:pt idx="3">
                  <c:v>1575</c:v>
                </c:pt>
                <c:pt idx="4">
                  <c:v>1590</c:v>
                </c:pt>
                <c:pt idx="5">
                  <c:v>1605</c:v>
                </c:pt>
                <c:pt idx="6">
                  <c:v>1620</c:v>
                </c:pt>
                <c:pt idx="7">
                  <c:v>1630</c:v>
                </c:pt>
              </c:numCache>
            </c:numRef>
          </c:xVal>
          <c:yVal>
            <c:numRef>
              <c:f>Sheet1!$O$3:$O$10</c:f>
              <c:numCache>
                <c:formatCode>General</c:formatCode>
                <c:ptCount val="8"/>
                <c:pt idx="0">
                  <c:v>29</c:v>
                </c:pt>
                <c:pt idx="1">
                  <c:v>34</c:v>
                </c:pt>
                <c:pt idx="2">
                  <c:v>32</c:v>
                </c:pt>
                <c:pt idx="3">
                  <c:v>32</c:v>
                </c:pt>
                <c:pt idx="4">
                  <c:v>35</c:v>
                </c:pt>
                <c:pt idx="5">
                  <c:v>30</c:v>
                </c:pt>
                <c:pt idx="6">
                  <c:v>30</c:v>
                </c:pt>
                <c:pt idx="7">
                  <c:v>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04-4B29-B3AD-151D2C5DB2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5612336"/>
        <c:axId val="671184888"/>
      </c:scatterChart>
      <c:valAx>
        <c:axId val="575612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Wavelength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671184888"/>
        <c:crosses val="autoZero"/>
        <c:crossBetween val="midCat"/>
      </c:valAx>
      <c:valAx>
        <c:axId val="671184888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PDL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5756123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571500</xdr:colOff>
      <xdr:row>3</xdr:row>
      <xdr:rowOff>110490</xdr:rowOff>
    </xdr:from>
    <xdr:to>
      <xdr:col>11</xdr:col>
      <xdr:colOff>266700</xdr:colOff>
      <xdr:row>19</xdr:row>
      <xdr:rowOff>110490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58849B-BA65-8BFE-9A6B-5E713198B7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160020</xdr:colOff>
      <xdr:row>9</xdr:row>
      <xdr:rowOff>148590</xdr:rowOff>
    </xdr:from>
    <xdr:to>
      <xdr:col>16</xdr:col>
      <xdr:colOff>464820</xdr:colOff>
      <xdr:row>24</xdr:row>
      <xdr:rowOff>148590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AC67937-1445-4AC0-C836-B4BE4E7B2F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4F6F86-24E6-41CF-B31A-18667A58E330}" name="Table1" displayName="Table1" ref="A14:F24" totalsRowShown="0">
  <autoFilter ref="A14:F24" xr:uid="{5F4F6F86-24E6-41CF-B31A-18667A58E330}"/>
  <tableColumns count="6">
    <tableColumn id="1" xr3:uid="{DFBDCB22-60F6-4FEE-AA2F-54D62F47A529}" name="Column1"/>
    <tableColumn id="2" xr3:uid="{4CCA83EE-E705-4C7C-9C13-C752AF489B87}" name="1" dataDxfId="2">
      <calculatedColumnFormula>$F$32*#REF!</calculatedColumnFormula>
    </tableColumn>
    <tableColumn id="3" xr3:uid="{39484F7C-FC24-4E87-8048-C2D5D3A910BE}" name="2"/>
    <tableColumn id="4" xr3:uid="{C7A1FAA4-E3E0-4C99-9ECE-5A4295856F89}" name="3"/>
    <tableColumn id="5" xr3:uid="{61577A07-0E8F-4E0D-8C77-9A1AF86826CB}" name="#1" dataDxfId="1">
      <calculatedColumnFormula>B$15-B15</calculatedColumnFormula>
    </tableColumn>
    <tableColumn id="6" xr3:uid="{63C3E1AB-4435-4D48-907E-D24AF3DE979F}" name="#2" dataDxfId="0">
      <calculatedColumnFormula>C$15-C15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CB009-F38E-4E93-8466-2F4344B86224}">
  <dimension ref="A1:O33"/>
  <sheetViews>
    <sheetView tabSelected="1" workbookViewId="0">
      <selection activeCell="N2" sqref="N2"/>
    </sheetView>
  </sheetViews>
  <sheetFormatPr defaultRowHeight="14.4" x14ac:dyDescent="0.3"/>
  <cols>
    <col min="1" max="1" width="10.33203125" customWidth="1"/>
  </cols>
  <sheetData>
    <row r="1" spans="1:15" x14ac:dyDescent="0.3">
      <c r="A1" t="s">
        <v>0</v>
      </c>
      <c r="C1" t="s">
        <v>2</v>
      </c>
      <c r="D1" t="s">
        <v>1</v>
      </c>
      <c r="L1" t="s">
        <v>21</v>
      </c>
      <c r="M1" t="s">
        <v>22</v>
      </c>
      <c r="N1" t="s">
        <v>25</v>
      </c>
    </row>
    <row r="2" spans="1:15" x14ac:dyDescent="0.3">
      <c r="A2">
        <v>1</v>
      </c>
      <c r="C2">
        <v>3</v>
      </c>
      <c r="D2">
        <v>-38</v>
      </c>
      <c r="L2" t="s">
        <v>23</v>
      </c>
      <c r="M2" t="s">
        <v>7</v>
      </c>
      <c r="N2" t="s">
        <v>24</v>
      </c>
      <c r="O2" t="s">
        <v>1</v>
      </c>
    </row>
    <row r="3" spans="1:15" x14ac:dyDescent="0.3">
      <c r="A3">
        <v>2</v>
      </c>
      <c r="C3">
        <v>2.6</v>
      </c>
      <c r="D3">
        <v>-29</v>
      </c>
      <c r="L3">
        <v>1520</v>
      </c>
      <c r="M3">
        <v>-25</v>
      </c>
      <c r="N3">
        <v>-54</v>
      </c>
      <c r="O3">
        <f>M3-N3</f>
        <v>29</v>
      </c>
    </row>
    <row r="4" spans="1:15" x14ac:dyDescent="0.3">
      <c r="A4">
        <v>3</v>
      </c>
      <c r="C4">
        <v>2.2999999999999998</v>
      </c>
      <c r="D4">
        <v>-25</v>
      </c>
      <c r="L4">
        <v>1535</v>
      </c>
      <c r="M4">
        <v>-26</v>
      </c>
      <c r="N4">
        <v>-60</v>
      </c>
      <c r="O4">
        <f t="shared" ref="O4:O10" si="0">M4-N4</f>
        <v>34</v>
      </c>
    </row>
    <row r="5" spans="1:15" x14ac:dyDescent="0.3">
      <c r="A5">
        <v>4</v>
      </c>
      <c r="C5">
        <v>0</v>
      </c>
      <c r="D5">
        <v>-2</v>
      </c>
      <c r="H5">
        <v>13</v>
      </c>
      <c r="I5" t="s">
        <v>3</v>
      </c>
      <c r="L5">
        <v>1560</v>
      </c>
      <c r="M5">
        <v>-27</v>
      </c>
      <c r="N5">
        <v>-59</v>
      </c>
      <c r="O5">
        <f t="shared" si="0"/>
        <v>32</v>
      </c>
    </row>
    <row r="6" spans="1:15" x14ac:dyDescent="0.3">
      <c r="A6">
        <v>5</v>
      </c>
      <c r="C6">
        <v>1.65</v>
      </c>
      <c r="D6">
        <v>-19</v>
      </c>
      <c r="H6">
        <v>130</v>
      </c>
      <c r="I6" t="s">
        <v>4</v>
      </c>
      <c r="L6">
        <v>1575</v>
      </c>
      <c r="M6">
        <v>-28</v>
      </c>
      <c r="N6">
        <v>-60</v>
      </c>
      <c r="O6">
        <f t="shared" si="0"/>
        <v>32</v>
      </c>
    </row>
    <row r="7" spans="1:15" x14ac:dyDescent="0.3">
      <c r="A7">
        <v>6</v>
      </c>
      <c r="C7">
        <v>1.8</v>
      </c>
      <c r="D7">
        <v>-27</v>
      </c>
      <c r="H7">
        <f>H6/4.34</f>
        <v>29.953917050691246</v>
      </c>
      <c r="I7" t="s">
        <v>5</v>
      </c>
      <c r="L7">
        <v>1590</v>
      </c>
      <c r="M7">
        <v>-29</v>
      </c>
      <c r="N7">
        <v>-64</v>
      </c>
      <c r="O7">
        <f t="shared" si="0"/>
        <v>35</v>
      </c>
    </row>
    <row r="8" spans="1:15" x14ac:dyDescent="0.3">
      <c r="A8">
        <v>7</v>
      </c>
      <c r="E8">
        <v>1</v>
      </c>
      <c r="F8">
        <v>-36</v>
      </c>
      <c r="H8">
        <f>H7*100</f>
        <v>2995.3917050691243</v>
      </c>
      <c r="I8" t="s">
        <v>6</v>
      </c>
      <c r="L8">
        <v>1605</v>
      </c>
      <c r="M8">
        <v>-29</v>
      </c>
      <c r="N8">
        <v>-59</v>
      </c>
      <c r="O8">
        <f t="shared" si="0"/>
        <v>30</v>
      </c>
    </row>
    <row r="9" spans="1:15" x14ac:dyDescent="0.3">
      <c r="A9">
        <v>8</v>
      </c>
      <c r="C9">
        <v>0</v>
      </c>
      <c r="D9">
        <v>-2</v>
      </c>
      <c r="L9">
        <v>1620</v>
      </c>
      <c r="M9">
        <v>-30</v>
      </c>
      <c r="N9">
        <v>-60</v>
      </c>
      <c r="O9">
        <f t="shared" si="0"/>
        <v>30</v>
      </c>
    </row>
    <row r="10" spans="1:15" x14ac:dyDescent="0.3">
      <c r="A10">
        <v>9</v>
      </c>
      <c r="C10">
        <v>0</v>
      </c>
      <c r="D10">
        <v>-1.5</v>
      </c>
      <c r="L10">
        <v>1630</v>
      </c>
      <c r="M10">
        <v>-31</v>
      </c>
      <c r="N10">
        <v>-66</v>
      </c>
      <c r="O10">
        <f t="shared" si="0"/>
        <v>35</v>
      </c>
    </row>
    <row r="13" spans="1:15" x14ac:dyDescent="0.3">
      <c r="B13" s="9" t="s">
        <v>20</v>
      </c>
      <c r="C13" s="9"/>
      <c r="D13" s="9"/>
      <c r="F13" s="10" t="s">
        <v>15</v>
      </c>
      <c r="G13" s="10"/>
    </row>
    <row r="14" spans="1:15" x14ac:dyDescent="0.3">
      <c r="A14" t="s">
        <v>11</v>
      </c>
      <c r="B14" t="s">
        <v>12</v>
      </c>
      <c r="C14" t="s">
        <v>13</v>
      </c>
      <c r="D14" t="s">
        <v>14</v>
      </c>
      <c r="E14" t="s">
        <v>16</v>
      </c>
      <c r="F14" t="s">
        <v>17</v>
      </c>
      <c r="G14" t="s">
        <v>18</v>
      </c>
      <c r="H14" s="2" t="s">
        <v>2</v>
      </c>
    </row>
    <row r="15" spans="1:15" x14ac:dyDescent="0.3">
      <c r="A15" t="s">
        <v>19</v>
      </c>
      <c r="B15">
        <v>17</v>
      </c>
      <c r="C15">
        <v>-7</v>
      </c>
      <c r="D15">
        <v>6</v>
      </c>
      <c r="E15">
        <f>B$15-B15</f>
        <v>0</v>
      </c>
      <c r="F15">
        <f>C$15-C15</f>
        <v>0</v>
      </c>
      <c r="G15">
        <f>D$15-D15</f>
        <v>0</v>
      </c>
      <c r="H15" s="4"/>
    </row>
    <row r="16" spans="1:15" x14ac:dyDescent="0.3">
      <c r="A16">
        <v>1</v>
      </c>
      <c r="B16">
        <f>$F$32*G25</f>
        <v>-7</v>
      </c>
      <c r="C16">
        <f>$F$32*H25</f>
        <v>-34</v>
      </c>
      <c r="D16">
        <f>$F$32*I25</f>
        <v>-20</v>
      </c>
      <c r="E16">
        <f t="shared" ref="E16:E24" si="1">B$15-B16</f>
        <v>24</v>
      </c>
      <c r="F16">
        <f>C$15-C16</f>
        <v>27</v>
      </c>
      <c r="G16">
        <f>D$15-D16</f>
        <v>26</v>
      </c>
      <c r="H16" s="6">
        <v>3</v>
      </c>
    </row>
    <row r="17" spans="1:9" x14ac:dyDescent="0.3">
      <c r="A17">
        <v>2</v>
      </c>
      <c r="B17">
        <f>$F$32*G26</f>
        <v>-15</v>
      </c>
      <c r="C17">
        <f>$F$32*H26</f>
        <v>-39</v>
      </c>
      <c r="D17">
        <f>$F$32*I26</f>
        <v>-25</v>
      </c>
      <c r="E17">
        <f t="shared" si="1"/>
        <v>32</v>
      </c>
      <c r="F17">
        <f>C$15-C17</f>
        <v>32</v>
      </c>
      <c r="G17">
        <f>D$15-D17</f>
        <v>31</v>
      </c>
      <c r="H17" s="4">
        <v>2.6</v>
      </c>
    </row>
    <row r="18" spans="1:9" x14ac:dyDescent="0.3">
      <c r="A18">
        <v>3</v>
      </c>
      <c r="B18">
        <f>$F$32*G27</f>
        <v>-17</v>
      </c>
      <c r="C18">
        <f>$F$32*H27</f>
        <v>-39</v>
      </c>
      <c r="D18">
        <f>$F$32*I27</f>
        <v>-26</v>
      </c>
      <c r="E18">
        <f t="shared" si="1"/>
        <v>34</v>
      </c>
      <c r="F18">
        <f>C$15-C18</f>
        <v>32</v>
      </c>
      <c r="G18">
        <f>D$15-D18</f>
        <v>32</v>
      </c>
      <c r="H18" s="6">
        <v>2.2999999999999998</v>
      </c>
    </row>
    <row r="19" spans="1:9" x14ac:dyDescent="0.3">
      <c r="A19" s="1">
        <v>4</v>
      </c>
      <c r="B19" s="1">
        <f>$F$32*G28</f>
        <v>-7</v>
      </c>
      <c r="C19" s="1">
        <f>$F$32*H28</f>
        <v>-30</v>
      </c>
      <c r="D19" s="1">
        <f>$F$32*I28</f>
        <v>-15</v>
      </c>
      <c r="E19">
        <f t="shared" si="1"/>
        <v>24</v>
      </c>
      <c r="F19" s="1">
        <f>C$15-C19</f>
        <v>23</v>
      </c>
      <c r="G19" s="1">
        <f>D$15-D19</f>
        <v>21</v>
      </c>
      <c r="H19" s="8">
        <v>0</v>
      </c>
    </row>
    <row r="20" spans="1:9" x14ac:dyDescent="0.3">
      <c r="A20">
        <v>5</v>
      </c>
      <c r="B20">
        <f>$F$32*G29</f>
        <v>-25</v>
      </c>
      <c r="C20">
        <f>$F$32*H29</f>
        <v>-52</v>
      </c>
      <c r="D20">
        <f>$F$32*I29</f>
        <v>-37</v>
      </c>
      <c r="E20">
        <f t="shared" si="1"/>
        <v>42</v>
      </c>
      <c r="F20">
        <f>C$15-C20</f>
        <v>45</v>
      </c>
      <c r="G20">
        <f>D$15-D20</f>
        <v>43</v>
      </c>
      <c r="H20" s="6">
        <v>1.65</v>
      </c>
    </row>
    <row r="21" spans="1:9" x14ac:dyDescent="0.3">
      <c r="A21">
        <v>6</v>
      </c>
      <c r="B21">
        <f>$F$32*G30</f>
        <v>-13</v>
      </c>
      <c r="C21">
        <f>$F$32*H30</f>
        <v>-39</v>
      </c>
      <c r="D21">
        <f>$F$32*I30</f>
        <v>-24</v>
      </c>
      <c r="E21">
        <f t="shared" si="1"/>
        <v>30</v>
      </c>
      <c r="F21">
        <f>C$15-C21</f>
        <v>32</v>
      </c>
      <c r="G21">
        <f>D$15-D21</f>
        <v>30</v>
      </c>
      <c r="H21" s="4">
        <v>1.8</v>
      </c>
    </row>
    <row r="22" spans="1:9" x14ac:dyDescent="0.3">
      <c r="A22">
        <v>7</v>
      </c>
      <c r="B22">
        <f>$F$32*G31</f>
        <v>-9.5</v>
      </c>
      <c r="C22">
        <f>$F$32*H31</f>
        <v>-37</v>
      </c>
      <c r="D22">
        <f>$F$32*I31</f>
        <v>-18</v>
      </c>
      <c r="E22">
        <f t="shared" si="1"/>
        <v>26.5</v>
      </c>
      <c r="F22">
        <f>C$15-C22</f>
        <v>30</v>
      </c>
      <c r="G22">
        <f>D$15-D22</f>
        <v>24</v>
      </c>
      <c r="H22" s="6">
        <v>1</v>
      </c>
    </row>
    <row r="23" spans="1:9" x14ac:dyDescent="0.3">
      <c r="A23" s="1">
        <v>8</v>
      </c>
      <c r="B23" s="1">
        <f>$F$32*G32</f>
        <v>-4</v>
      </c>
      <c r="C23" s="1">
        <f>$F$32*H32</f>
        <v>-26</v>
      </c>
      <c r="D23" s="1">
        <f>$F$32*I32</f>
        <v>-8</v>
      </c>
      <c r="E23">
        <f t="shared" si="1"/>
        <v>21</v>
      </c>
      <c r="F23" s="1">
        <f>C$15-C23</f>
        <v>19</v>
      </c>
      <c r="G23" s="1">
        <f>D$15-D23</f>
        <v>14</v>
      </c>
      <c r="H23" s="8">
        <v>0</v>
      </c>
    </row>
    <row r="24" spans="1:9" x14ac:dyDescent="0.3">
      <c r="A24" s="1">
        <v>9</v>
      </c>
      <c r="B24" s="1">
        <f>$F$32*G33</f>
        <v>-18</v>
      </c>
      <c r="C24" s="1">
        <f>$F$32*H33</f>
        <v>-34</v>
      </c>
      <c r="D24" s="1">
        <f>$F$32*I33</f>
        <v>-18.5</v>
      </c>
      <c r="E24">
        <f t="shared" si="1"/>
        <v>35</v>
      </c>
      <c r="F24" s="1">
        <f>C$15-C24</f>
        <v>27</v>
      </c>
      <c r="G24" s="1">
        <f>D$15-D24</f>
        <v>24.5</v>
      </c>
      <c r="H24" s="8">
        <v>0</v>
      </c>
    </row>
    <row r="25" spans="1:9" x14ac:dyDescent="0.3">
      <c r="A25" t="s">
        <v>8</v>
      </c>
      <c r="B25">
        <f>MAX(B15:B24)</f>
        <v>17</v>
      </c>
      <c r="C25">
        <f>MAX(H25:H33)</f>
        <v>52</v>
      </c>
      <c r="D25">
        <f>MAX(I25:I33)</f>
        <v>37</v>
      </c>
      <c r="G25" s="5">
        <v>7</v>
      </c>
      <c r="H25" s="5">
        <v>34</v>
      </c>
      <c r="I25" s="5">
        <v>20</v>
      </c>
    </row>
    <row r="26" spans="1:9" x14ac:dyDescent="0.3">
      <c r="A26" t="s">
        <v>9</v>
      </c>
      <c r="B26">
        <f>MIN(B16:B25)</f>
        <v>-25</v>
      </c>
      <c r="C26">
        <f t="shared" ref="C26:D26" si="2">MIN(C16:C25)</f>
        <v>-52</v>
      </c>
      <c r="D26">
        <f t="shared" si="2"/>
        <v>-37</v>
      </c>
      <c r="G26" s="3">
        <v>15</v>
      </c>
      <c r="H26" s="3">
        <v>39</v>
      </c>
      <c r="I26" s="3">
        <v>25</v>
      </c>
    </row>
    <row r="27" spans="1:9" x14ac:dyDescent="0.3">
      <c r="A27" t="s">
        <v>10</v>
      </c>
      <c r="B27">
        <f>B25-B26</f>
        <v>42</v>
      </c>
      <c r="C27">
        <f t="shared" ref="C27:D27" si="3">C25-C26</f>
        <v>104</v>
      </c>
      <c r="D27">
        <f t="shared" si="3"/>
        <v>74</v>
      </c>
      <c r="G27" s="5">
        <v>17</v>
      </c>
      <c r="H27" s="5">
        <v>39</v>
      </c>
      <c r="I27" s="5">
        <v>26</v>
      </c>
    </row>
    <row r="28" spans="1:9" x14ac:dyDescent="0.3">
      <c r="G28" s="7">
        <v>7</v>
      </c>
      <c r="H28" s="7">
        <v>30</v>
      </c>
      <c r="I28" s="7">
        <v>15</v>
      </c>
    </row>
    <row r="29" spans="1:9" x14ac:dyDescent="0.3">
      <c r="G29" s="5">
        <v>25</v>
      </c>
      <c r="H29" s="5">
        <v>52</v>
      </c>
      <c r="I29" s="5">
        <v>37</v>
      </c>
    </row>
    <row r="30" spans="1:9" x14ac:dyDescent="0.3">
      <c r="G30" s="3">
        <v>13</v>
      </c>
      <c r="H30" s="3">
        <v>39</v>
      </c>
      <c r="I30" s="3">
        <v>24</v>
      </c>
    </row>
    <row r="31" spans="1:9" x14ac:dyDescent="0.3">
      <c r="G31" s="5">
        <v>9.5</v>
      </c>
      <c r="H31" s="5">
        <v>37</v>
      </c>
      <c r="I31" s="5">
        <v>18</v>
      </c>
    </row>
    <row r="32" spans="1:9" x14ac:dyDescent="0.3">
      <c r="F32">
        <v>-1</v>
      </c>
      <c r="G32" s="7">
        <v>4</v>
      </c>
      <c r="H32" s="7">
        <v>26</v>
      </c>
      <c r="I32" s="7">
        <v>8</v>
      </c>
    </row>
    <row r="33" spans="7:9" x14ac:dyDescent="0.3">
      <c r="G33" s="7">
        <v>18</v>
      </c>
      <c r="H33" s="7">
        <v>34</v>
      </c>
      <c r="I33" s="7">
        <v>18.5</v>
      </c>
    </row>
  </sheetData>
  <mergeCells count="1">
    <mergeCell ref="B13:D13"/>
  </mergeCells>
  <phoneticPr fontId="2" type="noConversion"/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Shulamit Finkelman</dc:creator>
  <cp:lastModifiedBy>Shulamit Finkelman</cp:lastModifiedBy>
  <dcterms:created xsi:type="dcterms:W3CDTF">2025-11-03T11:54:43Z</dcterms:created>
  <dcterms:modified xsi:type="dcterms:W3CDTF">2025-11-05T09:48:54Z</dcterms:modified>
</cp:coreProperties>
</file>